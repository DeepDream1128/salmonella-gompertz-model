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lank\Dropbox (MSU)\My Documents\class\BE 835\BE 835 2016\Final Projects from Dolan\Jiyon Lee Gompertz Growth\"/>
    </mc:Choice>
  </mc:AlternateContent>
  <bookViews>
    <workbookView xWindow="0" yWindow="0" windowWidth="20025" windowHeight="9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<sst xmlns="http://schemas.openxmlformats.org/spreadsheetml/2006/main" count="4" uniqueCount="3">
  <si>
    <t>sinusoidal</t>
  </si>
  <si>
    <t>time (hr)</t>
  </si>
  <si>
    <t>CFU/mL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</si>
</sst>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sqref="A1:C14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2</v>
      </c>
    </row>
    <row r="3" spans="1:3" x14ac:dyDescent="0.25">
      <c r="A3">
        <v>0</v>
      </c>
      <c r="B3">
        <f>(18+22+15+21)*4</f>
        <v>304</v>
      </c>
    </row>
    <row r="4" spans="1:3" x14ac:dyDescent="0.25">
      <c r="A4">
        <v>0.5</v>
      </c>
      <c r="B4">
        <f>(24+27+25+23)*4</f>
        <v>396</v>
      </c>
    </row>
    <row r="5" spans="1:3" x14ac:dyDescent="0.25">
      <c r="A5">
        <v>1</v>
      </c>
      <c r="B5">
        <f>(19+24+20+20)*4</f>
        <v>332</v>
      </c>
    </row>
    <row r="6" spans="1:3" x14ac:dyDescent="0.25">
      <c r="A6">
        <v>2</v>
      </c>
      <c r="B6">
        <f>(65+61+118+52)*4</f>
        <v>1184</v>
      </c>
    </row>
    <row r="7" spans="1:3" x14ac:dyDescent="0.25">
      <c r="A7">
        <v>3</v>
      </c>
      <c r="B7">
        <f>95*4*20*1</f>
        <v>7600</v>
      </c>
      <c r="C7">
        <f>99*4*20*1</f>
        <v>7920</v>
      </c>
    </row>
    <row r="8" spans="1:3" x14ac:dyDescent="0.25">
      <c r="A8">
        <v>4</v>
      </c>
      <c r="B8">
        <f>60*4*379*1</f>
        <v>90960</v>
      </c>
      <c r="C8">
        <f>48*4*379*1</f>
        <v>72768</v>
      </c>
    </row>
    <row r="9" spans="1:3" x14ac:dyDescent="0.25">
      <c r="A9">
        <v>5</v>
      </c>
      <c r="B9">
        <f>257*4*20*10</f>
        <v>205600</v>
      </c>
      <c r="C9">
        <f>379*4*20*10</f>
        <v>303200</v>
      </c>
    </row>
    <row r="10" spans="1:3" x14ac:dyDescent="0.25">
      <c r="A10">
        <v>6</v>
      </c>
      <c r="B10">
        <f>17*9*20*100</f>
        <v>306000</v>
      </c>
      <c r="C10">
        <f>18*9*20*100</f>
        <v>324000</v>
      </c>
    </row>
    <row r="11" spans="1:3" x14ac:dyDescent="0.25">
      <c r="A11">
        <v>8</v>
      </c>
      <c r="B11">
        <f>212*4*20*100</f>
        <v>1696000</v>
      </c>
      <c r="C11">
        <f>219*4*20*100</f>
        <v>1752000</v>
      </c>
    </row>
    <row r="12" spans="1:3" x14ac:dyDescent="0.25">
      <c r="A12">
        <v>12</v>
      </c>
      <c r="B12">
        <f>184*4*20*1000</f>
        <v>14720000</v>
      </c>
      <c r="C12">
        <f>186*4*20*1000</f>
        <v>14880000</v>
      </c>
    </row>
    <row r="13" spans="1:3" x14ac:dyDescent="0.25">
      <c r="A13">
        <v>15</v>
      </c>
      <c r="B13">
        <f>109*4*20*10000</f>
        <v>87200000</v>
      </c>
      <c r="C13">
        <f>119*4*20*10000</f>
        <v>95200000</v>
      </c>
    </row>
    <row r="14" spans="1:3" x14ac:dyDescent="0.25">
      <c r="A14">
        <v>17</v>
      </c>
      <c r="B14">
        <f>452*4*20*10000</f>
        <v>361600000</v>
      </c>
      <c r="C14">
        <f>492*4*20*10000</f>
        <v>393600000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Dolan, Kirk</dc:creator>
  <cp:lastModifiedBy>Dolan, Kirk</cp:lastModifiedBy>
  <dcterms:created xsi:type="dcterms:W3CDTF">2016-12-09T16:49:54Z</dcterms:created>
  <dcterms:modified xsi:type="dcterms:W3CDTF">2016-12-09T16:50:55Z</dcterms:modified>
</cp:coreProperties>
</file>